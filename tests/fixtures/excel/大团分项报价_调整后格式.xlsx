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36E48A5-0A2B-4926-8D67-70105DF1C67B}" xr6:coauthVersionLast="47" xr6:coauthVersionMax="47" xr10:uidLastSave="{00000000-0000-0000-0000-000000000000}"/>
  <bookViews>
    <workbookView xWindow="11475" yWindow="4170" windowWidth="24525" windowHeight="16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H25" i="1"/>
  <c r="F22" i="1"/>
  <c r="H24" i="1"/>
  <c r="F21" i="1"/>
  <c r="F20" i="1"/>
  <c r="F19" i="1"/>
  <c r="F18" i="1"/>
  <c r="F24" i="1" s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H22" i="1" l="1"/>
  <c r="F23" i="1"/>
  <c r="F25" i="1" s="1"/>
  <c r="H23" i="1"/>
  <c r="J25" i="1" l="1"/>
</calcChain>
</file>

<file path=xl/sharedStrings.xml><?xml version="1.0" encoding="utf-8"?>
<sst xmlns="http://schemas.openxmlformats.org/spreadsheetml/2006/main" count="79" uniqueCount="60">
  <si>
    <t>中科悦行文旅报价表</t>
  </si>
  <si>
    <t>项目名称</t>
  </si>
  <si>
    <t>京华荟萃研学营</t>
  </si>
  <si>
    <t>日期：</t>
  </si>
  <si>
    <t>人数</t>
  </si>
  <si>
    <t>20成人，20儿童</t>
  </si>
  <si>
    <t>成本类别</t>
  </si>
  <si>
    <t>项目</t>
  </si>
  <si>
    <t>单价</t>
  </si>
  <si>
    <t>数量</t>
  </si>
  <si>
    <t>单位</t>
  </si>
  <si>
    <t>费用小计</t>
  </si>
  <si>
    <t>备注</t>
  </si>
  <si>
    <t>住宿</t>
  </si>
  <si>
    <t>全集酒店（鸟巢）</t>
  </si>
  <si>
    <t>间/夜</t>
  </si>
  <si>
    <t>五环沿线酒店,20间+2司陪房，4晚</t>
  </si>
  <si>
    <t>黄河京都酒店</t>
  </si>
  <si>
    <t>通州阳光国际会议中心酒店</t>
  </si>
  <si>
    <t>北京三钻酒店</t>
  </si>
  <si>
    <t>车辆</t>
  </si>
  <si>
    <t>49座旅游大巴</t>
  </si>
  <si>
    <t>辆/天</t>
  </si>
  <si>
    <t>全程5天团队用车，机场起止</t>
  </si>
  <si>
    <t>餐饮</t>
  </si>
  <si>
    <t>正餐</t>
  </si>
  <si>
    <t>餐</t>
  </si>
  <si>
    <t>部分行程不含餐费报价</t>
  </si>
  <si>
    <t>人均</t>
  </si>
  <si>
    <t>景点+体验项目</t>
  </si>
  <si>
    <t>前门研学</t>
  </si>
  <si>
    <t>元/人</t>
  </si>
  <si>
    <t>中央电视塔</t>
  </si>
  <si>
    <t>中国科技馆</t>
  </si>
  <si>
    <t>故宫（成人票）</t>
  </si>
  <si>
    <t>故宫（儿童票）</t>
  </si>
  <si>
    <t>首都博物馆</t>
  </si>
  <si>
    <t>包含单独精讲费用</t>
  </si>
  <si>
    <t>鸟巢内部参观（成人）</t>
  </si>
  <si>
    <t>鸟巢内部参观（儿童）</t>
  </si>
  <si>
    <t>门票小计</t>
  </si>
  <si>
    <t>成人</t>
  </si>
  <si>
    <t>儿童</t>
  </si>
  <si>
    <t>服务费</t>
  </si>
  <si>
    <t>导游</t>
  </si>
  <si>
    <t>天/人</t>
  </si>
  <si>
    <t>研学老师带队</t>
  </si>
  <si>
    <t>研学活动物资</t>
  </si>
  <si>
    <t>每日用水，研学手册、全程耳机等</t>
  </si>
  <si>
    <t>保险</t>
  </si>
  <si>
    <t>操作费</t>
  </si>
  <si>
    <t>操作服务费（含场馆约票等）30元/人/天</t>
  </si>
  <si>
    <t>服务费小计</t>
  </si>
  <si>
    <t>合计</t>
  </si>
  <si>
    <t>房餐车小计</t>
    <phoneticPr fontId="6" type="noConversion"/>
  </si>
  <si>
    <t>穷举门票情况</t>
    <phoneticPr fontId="6" type="noConversion"/>
  </si>
  <si>
    <t>默认不出这一项，客户如果有提，要夏老师增加餐标</t>
    <phoneticPr fontId="6" type="noConversion"/>
  </si>
  <si>
    <t>要列出来</t>
    <phoneticPr fontId="6" type="noConversion"/>
  </si>
  <si>
    <t>大团一般报保险</t>
    <phoneticPr fontId="6" type="noConversion"/>
  </si>
  <si>
    <t>出报价和行程之前如果要生成需要先给客户发句话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</si>
</sst>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7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sz val="14"/>
      <name val="宋体"/>
      <family val="3"/>
      <charset val="134"/>
      <scheme val="minor"/>
    </font>
    <font>
      <sz val="14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58" fontId="1" fillId="0" borderId="0" xfId="0" applyNumberFormat="1" applyFont="1">
      <alignment vertical="center"/>
    </xf>
    <xf numFmtId="0" fontId="1" fillId="0" borderId="4" xfId="0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57" fontId="2" fillId="0" borderId="4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zoomScale="70" zoomScaleNormal="70" workbookViewId="0">
      <selection activeCell="G13" sqref="G13:J13"/>
    </sheetView>
  </sheetViews>
  <sheetFormatPr defaultColWidth="9" defaultRowHeight="36" customHeight="1" x14ac:dyDescent="0.15"/>
  <cols>
    <col min="1" max="1" width="17.75" style="1" customWidth="1"/>
    <col min="2" max="2" width="47.625" style="1" customWidth="1"/>
    <col min="3" max="3" width="10.75" style="1"/>
    <col min="4" max="4" width="11.125" style="1" customWidth="1"/>
    <col min="5" max="5" width="9" style="1"/>
    <col min="6" max="6" width="14.875" style="2" customWidth="1"/>
    <col min="7" max="10" width="12.125" style="1" customWidth="1"/>
    <col min="11" max="11" width="64.75" style="1" customWidth="1"/>
    <col min="12" max="16384" width="9" style="1"/>
  </cols>
  <sheetData>
    <row r="1" spans="1:12" ht="36" customHeight="1" x14ac:dyDescent="0.1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30"/>
    </row>
    <row r="2" spans="1:12" ht="36" customHeight="1" x14ac:dyDescent="0.15">
      <c r="A2" s="3" t="s">
        <v>1</v>
      </c>
      <c r="B2" s="31" t="s">
        <v>2</v>
      </c>
      <c r="C2" s="31"/>
      <c r="D2" s="3" t="s">
        <v>3</v>
      </c>
      <c r="E2" s="32">
        <v>45658</v>
      </c>
      <c r="F2" s="33"/>
      <c r="G2" s="3" t="s">
        <v>4</v>
      </c>
      <c r="H2" s="12" t="s">
        <v>5</v>
      </c>
      <c r="I2" s="13"/>
      <c r="J2" s="14"/>
    </row>
    <row r="3" spans="1:12" ht="36" customHeight="1" x14ac:dyDescent="0.1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5" t="s">
        <v>11</v>
      </c>
      <c r="G3" s="22" t="s">
        <v>12</v>
      </c>
      <c r="H3" s="23"/>
      <c r="I3" s="23"/>
      <c r="J3" s="24"/>
      <c r="L3" s="6"/>
    </row>
    <row r="4" spans="1:12" ht="36" customHeight="1" x14ac:dyDescent="0.15">
      <c r="A4" s="15" t="s">
        <v>13</v>
      </c>
      <c r="B4" s="7" t="s">
        <v>14</v>
      </c>
      <c r="C4" s="7">
        <v>240</v>
      </c>
      <c r="D4" s="7">
        <v>22</v>
      </c>
      <c r="E4" s="7" t="s">
        <v>15</v>
      </c>
      <c r="F4" s="8">
        <f t="shared" ref="F4:F9" si="0">C4*D4</f>
        <v>5280</v>
      </c>
      <c r="G4" s="12" t="s">
        <v>16</v>
      </c>
      <c r="H4" s="13"/>
      <c r="I4" s="13"/>
      <c r="J4" s="14"/>
      <c r="L4" s="6"/>
    </row>
    <row r="5" spans="1:12" ht="36" customHeight="1" x14ac:dyDescent="0.15">
      <c r="A5" s="16"/>
      <c r="B5" s="7" t="s">
        <v>17</v>
      </c>
      <c r="C5" s="7">
        <v>240</v>
      </c>
      <c r="D5" s="7">
        <v>22</v>
      </c>
      <c r="E5" s="7" t="s">
        <v>15</v>
      </c>
      <c r="F5" s="8">
        <f t="shared" si="0"/>
        <v>5280</v>
      </c>
      <c r="G5" s="22"/>
      <c r="H5" s="23"/>
      <c r="I5" s="23"/>
      <c r="J5" s="24"/>
      <c r="L5" s="6"/>
    </row>
    <row r="6" spans="1:12" ht="36" customHeight="1" x14ac:dyDescent="0.15">
      <c r="A6" s="16"/>
      <c r="B6" s="7" t="s">
        <v>18</v>
      </c>
      <c r="C6" s="7">
        <v>240</v>
      </c>
      <c r="D6" s="7">
        <v>22</v>
      </c>
      <c r="E6" s="7" t="s">
        <v>15</v>
      </c>
      <c r="F6" s="8">
        <f t="shared" si="0"/>
        <v>5280</v>
      </c>
      <c r="G6" s="22"/>
      <c r="H6" s="23"/>
      <c r="I6" s="23"/>
      <c r="J6" s="24"/>
      <c r="L6" s="6"/>
    </row>
    <row r="7" spans="1:12" ht="36" customHeight="1" x14ac:dyDescent="0.15">
      <c r="A7" s="16"/>
      <c r="B7" s="7" t="s">
        <v>19</v>
      </c>
      <c r="C7" s="7">
        <v>240</v>
      </c>
      <c r="D7" s="7">
        <v>22</v>
      </c>
      <c r="E7" s="7" t="s">
        <v>15</v>
      </c>
      <c r="F7" s="8">
        <f t="shared" si="0"/>
        <v>5280</v>
      </c>
      <c r="G7" s="12"/>
      <c r="H7" s="13"/>
      <c r="I7" s="13"/>
      <c r="J7" s="14"/>
      <c r="L7" s="6"/>
    </row>
    <row r="8" spans="1:12" ht="36" customHeight="1" x14ac:dyDescent="0.15">
      <c r="A8" s="9" t="s">
        <v>20</v>
      </c>
      <c r="B8" s="10" t="s">
        <v>21</v>
      </c>
      <c r="C8" s="10">
        <v>1800</v>
      </c>
      <c r="D8" s="10">
        <v>5</v>
      </c>
      <c r="E8" s="10" t="s">
        <v>22</v>
      </c>
      <c r="F8" s="8">
        <f t="shared" si="0"/>
        <v>9000</v>
      </c>
      <c r="G8" s="25" t="s">
        <v>23</v>
      </c>
      <c r="H8" s="26"/>
      <c r="I8" s="26"/>
      <c r="J8" s="27"/>
    </row>
    <row r="9" spans="1:12" ht="36" customHeight="1" x14ac:dyDescent="0.15">
      <c r="A9" s="4" t="s">
        <v>24</v>
      </c>
      <c r="B9" s="7" t="s">
        <v>25</v>
      </c>
      <c r="C9" s="7">
        <v>400</v>
      </c>
      <c r="D9" s="7">
        <v>40</v>
      </c>
      <c r="E9" s="7" t="s">
        <v>26</v>
      </c>
      <c r="F9" s="8">
        <f t="shared" si="0"/>
        <v>16000</v>
      </c>
      <c r="G9" s="22" t="s">
        <v>27</v>
      </c>
      <c r="H9" s="23"/>
      <c r="I9" s="23"/>
      <c r="J9" s="24"/>
      <c r="K9" s="1" t="s">
        <v>56</v>
      </c>
    </row>
    <row r="10" spans="1:12" ht="36" customHeight="1" x14ac:dyDescent="0.15">
      <c r="A10" s="17" t="s">
        <v>29</v>
      </c>
      <c r="B10" s="7" t="s">
        <v>30</v>
      </c>
      <c r="C10" s="7">
        <v>0</v>
      </c>
      <c r="D10" s="7">
        <v>40</v>
      </c>
      <c r="E10" s="7" t="s">
        <v>31</v>
      </c>
      <c r="F10" s="8">
        <f>C10*D10</f>
        <v>0</v>
      </c>
      <c r="G10" s="12"/>
      <c r="H10" s="13"/>
      <c r="I10" s="13"/>
      <c r="J10" s="14"/>
      <c r="K10" s="1" t="s">
        <v>57</v>
      </c>
    </row>
    <row r="11" spans="1:12" ht="36" customHeight="1" x14ac:dyDescent="0.15">
      <c r="A11" s="18"/>
      <c r="B11" s="10" t="s">
        <v>32</v>
      </c>
      <c r="C11" s="10">
        <v>45</v>
      </c>
      <c r="D11" s="10">
        <v>40</v>
      </c>
      <c r="E11" s="10" t="s">
        <v>31</v>
      </c>
      <c r="F11" s="8">
        <f t="shared" ref="F11:F16" si="1">C11*D11</f>
        <v>1800</v>
      </c>
      <c r="G11" s="12"/>
      <c r="H11" s="13"/>
      <c r="I11" s="13"/>
      <c r="J11" s="14"/>
    </row>
    <row r="12" spans="1:12" ht="36" customHeight="1" x14ac:dyDescent="0.15">
      <c r="A12" s="18"/>
      <c r="B12" s="10" t="s">
        <v>33</v>
      </c>
      <c r="C12" s="10">
        <v>30</v>
      </c>
      <c r="D12" s="10">
        <v>40</v>
      </c>
      <c r="E12" s="10" t="s">
        <v>31</v>
      </c>
      <c r="F12" s="8">
        <f t="shared" si="1"/>
        <v>1200</v>
      </c>
      <c r="G12" s="12"/>
      <c r="H12" s="13"/>
      <c r="I12" s="13"/>
      <c r="J12" s="14"/>
    </row>
    <row r="13" spans="1:12" ht="35.1" customHeight="1" x14ac:dyDescent="0.15">
      <c r="A13" s="18"/>
      <c r="B13" s="10" t="s">
        <v>34</v>
      </c>
      <c r="C13" s="10">
        <v>80</v>
      </c>
      <c r="D13" s="10">
        <v>20</v>
      </c>
      <c r="E13" s="10" t="s">
        <v>31</v>
      </c>
      <c r="F13" s="8">
        <f t="shared" si="1"/>
        <v>1600</v>
      </c>
      <c r="G13" s="12"/>
      <c r="H13" s="13"/>
      <c r="I13" s="13"/>
      <c r="J13" s="14"/>
    </row>
    <row r="14" spans="1:12" ht="35.1" customHeight="1" x14ac:dyDescent="0.15">
      <c r="A14" s="18"/>
      <c r="B14" s="10" t="s">
        <v>35</v>
      </c>
      <c r="C14" s="10">
        <v>40</v>
      </c>
      <c r="D14" s="10">
        <v>20</v>
      </c>
      <c r="E14" s="10" t="s">
        <v>31</v>
      </c>
      <c r="F14" s="8">
        <f t="shared" si="1"/>
        <v>800</v>
      </c>
      <c r="G14" s="12"/>
      <c r="H14" s="13"/>
      <c r="I14" s="13"/>
      <c r="J14" s="14"/>
    </row>
    <row r="15" spans="1:12" ht="36" customHeight="1" x14ac:dyDescent="0.15">
      <c r="A15" s="18"/>
      <c r="B15" s="10" t="s">
        <v>36</v>
      </c>
      <c r="C15" s="10">
        <v>90</v>
      </c>
      <c r="D15" s="10">
        <v>40</v>
      </c>
      <c r="E15" s="10" t="s">
        <v>31</v>
      </c>
      <c r="F15" s="8">
        <f t="shared" si="1"/>
        <v>3600</v>
      </c>
      <c r="G15" s="12" t="s">
        <v>37</v>
      </c>
      <c r="H15" s="13"/>
      <c r="I15" s="13"/>
      <c r="J15" s="14"/>
    </row>
    <row r="16" spans="1:12" ht="36" customHeight="1" x14ac:dyDescent="0.15">
      <c r="A16" s="18"/>
      <c r="B16" s="37" t="s">
        <v>38</v>
      </c>
      <c r="C16" s="10">
        <v>78</v>
      </c>
      <c r="D16" s="10">
        <v>20</v>
      </c>
      <c r="E16" s="10" t="s">
        <v>31</v>
      </c>
      <c r="F16" s="8">
        <f t="shared" si="1"/>
        <v>1560</v>
      </c>
      <c r="G16" s="12"/>
      <c r="H16" s="13"/>
      <c r="I16" s="13"/>
      <c r="J16" s="14"/>
    </row>
    <row r="17" spans="1:11" ht="36" customHeight="1" x14ac:dyDescent="0.15">
      <c r="A17" s="19"/>
      <c r="B17" s="37" t="s">
        <v>39</v>
      </c>
      <c r="C17" s="10">
        <v>36</v>
      </c>
      <c r="D17" s="10">
        <v>20</v>
      </c>
      <c r="E17" s="10" t="s">
        <v>31</v>
      </c>
      <c r="F17" s="8">
        <f>C17*D17</f>
        <v>720</v>
      </c>
      <c r="G17" s="12"/>
      <c r="H17" s="13"/>
      <c r="I17" s="13"/>
      <c r="J17" s="14"/>
    </row>
    <row r="18" spans="1:11" ht="36" customHeight="1" x14ac:dyDescent="0.15">
      <c r="A18" s="15" t="s">
        <v>43</v>
      </c>
      <c r="B18" s="10" t="s">
        <v>44</v>
      </c>
      <c r="C18" s="10">
        <v>800</v>
      </c>
      <c r="D18" s="10">
        <v>5</v>
      </c>
      <c r="E18" s="10" t="s">
        <v>45</v>
      </c>
      <c r="F18" s="8">
        <f>C18*D18</f>
        <v>4000</v>
      </c>
      <c r="G18" s="12" t="s">
        <v>46</v>
      </c>
      <c r="H18" s="13"/>
      <c r="I18" s="13"/>
      <c r="J18" s="14"/>
      <c r="K18" s="1" t="s">
        <v>56</v>
      </c>
    </row>
    <row r="19" spans="1:11" ht="36" customHeight="1" x14ac:dyDescent="0.15">
      <c r="A19" s="16"/>
      <c r="B19" s="7" t="s">
        <v>47</v>
      </c>
      <c r="C19" s="7">
        <v>10</v>
      </c>
      <c r="D19" s="7">
        <v>5</v>
      </c>
      <c r="E19" s="7" t="s">
        <v>45</v>
      </c>
      <c r="F19" s="8">
        <f>C19*D19</f>
        <v>50</v>
      </c>
      <c r="G19" s="12" t="s">
        <v>48</v>
      </c>
      <c r="H19" s="13"/>
      <c r="I19" s="13"/>
      <c r="J19" s="14"/>
      <c r="K19" s="1" t="s">
        <v>56</v>
      </c>
    </row>
    <row r="20" spans="1:11" ht="36" customHeight="1" x14ac:dyDescent="0.15">
      <c r="A20" s="16"/>
      <c r="B20" s="7" t="s">
        <v>49</v>
      </c>
      <c r="C20" s="10">
        <v>5</v>
      </c>
      <c r="D20" s="10">
        <v>40</v>
      </c>
      <c r="E20" s="10" t="s">
        <v>31</v>
      </c>
      <c r="F20" s="8">
        <f>C20*D20</f>
        <v>200</v>
      </c>
      <c r="G20" s="12"/>
      <c r="H20" s="13"/>
      <c r="I20" s="13"/>
      <c r="J20" s="14"/>
      <c r="K20" s="1" t="s">
        <v>58</v>
      </c>
    </row>
    <row r="21" spans="1:11" ht="36" customHeight="1" x14ac:dyDescent="0.15">
      <c r="A21" s="20"/>
      <c r="B21" s="7" t="s">
        <v>50</v>
      </c>
      <c r="C21" s="10">
        <v>150</v>
      </c>
      <c r="D21" s="10">
        <v>40</v>
      </c>
      <c r="E21" s="7" t="s">
        <v>45</v>
      </c>
      <c r="F21" s="8">
        <f>C21*D21</f>
        <v>6000</v>
      </c>
      <c r="G21" s="12" t="s">
        <v>51</v>
      </c>
      <c r="H21" s="13"/>
      <c r="I21" s="13"/>
      <c r="J21" s="14"/>
      <c r="K21" s="1" t="s">
        <v>56</v>
      </c>
    </row>
    <row r="22" spans="1:11" ht="36" customHeight="1" x14ac:dyDescent="0.15">
      <c r="A22" s="34" t="s">
        <v>54</v>
      </c>
      <c r="B22" s="34"/>
      <c r="C22" s="34"/>
      <c r="D22" s="34"/>
      <c r="E22" s="34"/>
      <c r="F22" s="5">
        <f>SUM(F8:F9)</f>
        <v>25000</v>
      </c>
      <c r="G22" s="35" t="s">
        <v>28</v>
      </c>
      <c r="H22" s="35">
        <f>F22/40</f>
        <v>625</v>
      </c>
      <c r="I22" s="21"/>
      <c r="J22" s="21"/>
    </row>
    <row r="23" spans="1:11" ht="36" customHeight="1" x14ac:dyDescent="0.15">
      <c r="A23" s="34" t="s">
        <v>40</v>
      </c>
      <c r="B23" s="34"/>
      <c r="C23" s="34"/>
      <c r="D23" s="34"/>
      <c r="E23" s="34"/>
      <c r="F23" s="5">
        <f>SUM(F10:F17)</f>
        <v>11280</v>
      </c>
      <c r="G23" s="35" t="s">
        <v>41</v>
      </c>
      <c r="H23" s="35">
        <f>(F10+F11+F12+F13+F15+F16)/20</f>
        <v>488</v>
      </c>
      <c r="I23" s="38" t="s">
        <v>42</v>
      </c>
      <c r="J23" s="39">
        <f>(F10+F11+F12+F14+F15+F17)/20</f>
        <v>406</v>
      </c>
      <c r="K23" s="1" t="s">
        <v>55</v>
      </c>
    </row>
    <row r="24" spans="1:11" ht="36" customHeight="1" x14ac:dyDescent="0.15">
      <c r="A24" s="34" t="s">
        <v>52</v>
      </c>
      <c r="B24" s="34"/>
      <c r="C24" s="34"/>
      <c r="D24" s="34"/>
      <c r="E24" s="34"/>
      <c r="F24" s="5">
        <f>SUM(F18:F21)</f>
        <v>10250</v>
      </c>
      <c r="G24" s="35" t="s">
        <v>28</v>
      </c>
      <c r="H24" s="35">
        <f>F24/40</f>
        <v>256.25</v>
      </c>
      <c r="I24" s="36"/>
      <c r="J24" s="36"/>
    </row>
    <row r="25" spans="1:11" ht="36" customHeight="1" x14ac:dyDescent="0.15">
      <c r="A25" s="34" t="s">
        <v>53</v>
      </c>
      <c r="B25" s="34"/>
      <c r="C25" s="34"/>
      <c r="D25" s="34"/>
      <c r="E25" s="34"/>
      <c r="F25" s="8">
        <f>F24+F23+F22</f>
        <v>46530</v>
      </c>
      <c r="G25" s="35" t="s">
        <v>28</v>
      </c>
      <c r="H25" s="35">
        <f>H24+H23+H22</f>
        <v>1369.25</v>
      </c>
      <c r="I25" s="38" t="s">
        <v>42</v>
      </c>
      <c r="J25" s="39">
        <f>H24+J23+H22</f>
        <v>1287.25</v>
      </c>
    </row>
    <row r="26" spans="1:11" ht="36" customHeight="1" x14ac:dyDescent="0.15">
      <c r="A26" s="11"/>
      <c r="B26" s="11"/>
      <c r="C26" s="11"/>
      <c r="D26" s="11"/>
      <c r="E26" s="11"/>
      <c r="F26" s="11"/>
      <c r="G26" s="11"/>
      <c r="H26" s="11"/>
      <c r="I26" s="11"/>
    </row>
    <row r="27" spans="1:11" ht="36" customHeight="1" x14ac:dyDescent="0.15">
      <c r="K27" s="1" t="s">
        <v>59</v>
      </c>
    </row>
  </sheetData>
  <mergeCells count="32">
    <mergeCell ref="A1:J1"/>
    <mergeCell ref="B2:C2"/>
    <mergeCell ref="E2:F2"/>
    <mergeCell ref="H2:J2"/>
    <mergeCell ref="G3:J3"/>
    <mergeCell ref="G4:J4"/>
    <mergeCell ref="G5:J5"/>
    <mergeCell ref="G6:J6"/>
    <mergeCell ref="G7:J7"/>
    <mergeCell ref="G8:J8"/>
    <mergeCell ref="A25:E25"/>
    <mergeCell ref="G17:J17"/>
    <mergeCell ref="G18:J18"/>
    <mergeCell ref="G19:J19"/>
    <mergeCell ref="G20:J20"/>
    <mergeCell ref="I22:J22"/>
    <mergeCell ref="G21:J21"/>
    <mergeCell ref="I24:J24"/>
    <mergeCell ref="A4:A7"/>
    <mergeCell ref="A10:A17"/>
    <mergeCell ref="A18:A21"/>
    <mergeCell ref="A22:E22"/>
    <mergeCell ref="A23:E23"/>
    <mergeCell ref="A24:E24"/>
    <mergeCell ref="G12:J12"/>
    <mergeCell ref="G13:J13"/>
    <mergeCell ref="G14:J14"/>
    <mergeCell ref="G15:J15"/>
    <mergeCell ref="G16:J16"/>
    <mergeCell ref="G9:J9"/>
    <mergeCell ref="G10:J10"/>
    <mergeCell ref="G11:J1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Micronews</dc:creator>
  <cp:lastModifiedBy>伟 陆</cp:lastModifiedBy>
  <dcterms:created xsi:type="dcterms:W3CDTF">2024-05-06T07:13:00Z</dcterms:created>
  <dcterms:modified xsi:type="dcterms:W3CDTF">2026-07-21T06:02:46Z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025FAF5D4DBE474692AF8BF3B344C905_13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