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ppyRoom_家具软装" sheetId="1" state="visible" r:id="rId1"/>
    <sheet xmlns:r="http://schemas.openxmlformats.org/officeDocument/2006/relationships" name="参数 Parameters" sheetId="2" state="visible" r:id="rId2"/>
    <sheet xmlns:r="http://schemas.openxmlformats.org/officeDocument/2006/relationships" name="Notes 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0" customWidth="1" min="3" max="3"/>
    <col width="8" customWidth="1" min="4" max="4"/>
    <col width="8" customWidth="1" min="5" max="5"/>
    <col width="9" customWidth="1" min="6" max="6"/>
    <col width="20" customWidth="1" min="7" max="7"/>
    <col width="15" customWidth="1" min="8" max="8"/>
    <col width="12" customWidth="1" min="9" max="9"/>
    <col width="13" customWidth="1" min="10" max="10"/>
    <col width="30" customWidth="1" min="11" max="11"/>
    <col width="18" customWidth="1" min="12" max="12"/>
  </cols>
  <sheetData>
    <row r="1">
      <c r="D1" t="inlineStr">
        <is>
          <t>Material &amp; Product Quotation List / 室内材料及产品报价清单</t>
        </is>
      </c>
    </row>
    <row r="2">
      <c r="D2" t="inlineStr">
        <is>
          <t>Project: Demo Hotel</t>
        </is>
      </c>
    </row>
    <row r="3">
      <c r="D3" t="inlineStr">
        <is>
          <t>Project #: -</t>
        </is>
      </c>
    </row>
    <row r="4">
      <c r="D4" t="inlineStr">
        <is>
          <t>Issue Date: 27 OCT 2026</t>
        </is>
      </c>
    </row>
    <row r="5">
      <c r="D5" t="inlineStr">
        <is>
          <t>By Area: HappyRoom</t>
        </is>
      </c>
    </row>
    <row r="6">
      <c r="A6" s="1" t="inlineStr">
        <is>
          <t>编号</t>
        </is>
      </c>
      <c r="B6" s="1" t="inlineStr">
        <is>
          <t>描述 Description</t>
        </is>
      </c>
      <c r="C6" s="1" t="inlineStr">
        <is>
          <t>区域 Area</t>
        </is>
      </c>
      <c r="D6" s="1" t="inlineStr">
        <is>
          <t>区域</t>
        </is>
      </c>
      <c r="E6" s="1" t="inlineStr">
        <is>
          <t>数量 Qty</t>
        </is>
      </c>
      <c r="F6" s="1" t="inlineStr">
        <is>
          <t>单位 UoM</t>
        </is>
      </c>
      <c r="G6" s="1" t="inlineStr">
        <is>
          <t>品牌 Brand</t>
        </is>
      </c>
      <c r="H6" s="1" t="inlineStr">
        <is>
          <t>图片 Img</t>
        </is>
      </c>
      <c r="I6" s="1" t="inlineStr">
        <is>
          <t>单价 UnitPrice</t>
        </is>
      </c>
      <c r="J6" s="1" t="inlineStr">
        <is>
          <t>合价 Amount</t>
        </is>
      </c>
      <c r="K6" s="1" t="inlineStr">
        <is>
          <t>数量依据 Basis</t>
        </is>
      </c>
      <c r="L6" s="1" t="inlineStr">
        <is>
          <t>依据 Ref</t>
        </is>
      </c>
    </row>
    <row r="7">
      <c r="A7" s="2" t="inlineStr">
        <is>
          <t>1 Furniture 家具</t>
        </is>
      </c>
    </row>
    <row r="8">
      <c r="A8" t="inlineStr">
        <is>
          <t>HR-1601</t>
        </is>
      </c>
      <c r="B8" t="inlineStr">
        <is>
          <t>单人沙发 Lounge Chair
• Fabric: velvet
• Size W700 D750 H800
中文说明：客厅主沙发
Scope：乙供 Contractor</t>
        </is>
      </c>
      <c r="C8" t="inlineStr">
        <is>
          <t>HappyRoom</t>
        </is>
      </c>
      <c r="E8">
        <f>5</f>
        <v/>
      </c>
      <c r="F8" t="inlineStr">
        <is>
          <t>Each</t>
        </is>
      </c>
      <c r="G8" t="inlineStr">
        <is>
          <t>TO BID</t>
        </is>
      </c>
      <c r="H8" t="inlineStr"/>
      <c r="I8" s="3" t="n"/>
      <c r="J8">
        <f>IF(OR(E8="" ,I8=""),"",E8*I8)</f>
        <v/>
      </c>
      <c r="K8" t="inlineStr">
        <is>
          <t>按客房数</t>
        </is>
      </c>
      <c r="L8" t="inlineStr">
        <is>
          <t>3.2 (P.30)</t>
        </is>
      </c>
    </row>
    <row r="9">
      <c r="A9" t="inlineStr">
        <is>
          <t>HR-1602</t>
        </is>
      </c>
      <c r="B9" t="inlineStr">
        <is>
          <t>双人沙发 2-Seat Sofa
• Fabric: linen
• Size W1800 D900 H850
中文说明：客厅双人位
Scope：乙供 Contractor</t>
        </is>
      </c>
      <c r="C9" t="inlineStr">
        <is>
          <t>HappyRoom</t>
        </is>
      </c>
      <c r="E9">
        <f>3</f>
        <v/>
      </c>
      <c r="F9" t="inlineStr">
        <is>
          <t>Each</t>
        </is>
      </c>
      <c r="G9" t="inlineStr">
        <is>
          <t>TO BID</t>
        </is>
      </c>
      <c r="H9" t="inlineStr"/>
      <c r="I9" s="3" t="n"/>
      <c r="J9">
        <f>IF(OR(E9="" ,I9=""),"",E9*I9)</f>
        <v/>
      </c>
      <c r="K9" t="inlineStr">
        <is>
          <t>按客房数</t>
        </is>
      </c>
      <c r="L9" t="inlineStr">
        <is>
          <t>3.2 (P.30)</t>
        </is>
      </c>
    </row>
    <row r="10">
      <c r="A10" t="inlineStr">
        <is>
          <t>HR-1701</t>
        </is>
      </c>
      <c r="B10" t="inlineStr">
        <is>
          <t>边几 Side Table
• Wood: oak
• Size W500 D500 H550
中文说明：沙发旁边几
Scope：乙供 Contractor</t>
        </is>
      </c>
      <c r="C10" t="inlineStr">
        <is>
          <t>HappyRoom</t>
        </is>
      </c>
      <c r="E10">
        <f>5</f>
        <v/>
      </c>
      <c r="F10" t="inlineStr">
        <is>
          <t>Each</t>
        </is>
      </c>
      <c r="G10" t="inlineStr">
        <is>
          <t>TO BID</t>
        </is>
      </c>
      <c r="H10" t="inlineStr"/>
      <c r="I10" s="3" t="n"/>
      <c r="J10">
        <f>IF(OR(E10="" ,I10=""),"",E10*I10)</f>
        <v/>
      </c>
      <c r="K10" t="inlineStr">
        <is>
          <t>按客房数</t>
        </is>
      </c>
      <c r="L10" t="inlineStr">
        <is>
          <t>3.2 (P.30)</t>
        </is>
      </c>
    </row>
    <row r="11">
      <c r="A11" t="inlineStr">
        <is>
          <t>Total 合计</t>
        </is>
      </c>
      <c r="J11">
        <f>SUM(J8:J10)</f>
        <v/>
      </c>
    </row>
  </sheetData>
  <mergeCells count="5">
    <mergeCell ref="A11:I11"/>
    <mergeCell ref="C10:D10"/>
    <mergeCell ref="A7:G7"/>
    <mergeCell ref="C9:D9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</t>
        </is>
      </c>
    </row>
    <row r="3">
      <c r="A3" t="inlineStr">
        <is>
          <t>参数名称</t>
        </is>
      </c>
      <c r="B3" t="inlineStr">
        <is>
          <t>数值</t>
        </is>
      </c>
      <c r="C3" t="inlineStr">
        <is>
          <t>说明</t>
        </is>
      </c>
    </row>
    <row r="4">
      <c r="A4" t="inlineStr">
        <is>
          <t>客房总数</t>
        </is>
      </c>
      <c r="B4" t="n">
        <v>100</v>
      </c>
      <c r="C4" t="inlineStr">
        <is>
          <t>待业主提供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说明</t>
        </is>
      </c>
    </row>
    <row r="3">
      <c r="A3" t="inlineStr">
        <is>
          <t>编制依据：Demo Hotel 设计手册 v2026。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2026-10-27T03:30:07Z</dcterms:created>
  <dcterms:modified xmlns:dcterms="http://purl.org/dc/terms/" xmlns:xsi="http://www.w3.org/2001/XMLSchema-instance" xsi:type="dcterms:W3CDTF">2026-10-27T03:30:07Z</dcterms:modified>
</cp:coreProperties>
</file>